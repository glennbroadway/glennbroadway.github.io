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LENN/Puzzle/"/>
    </mc:Choice>
  </mc:AlternateContent>
  <xr:revisionPtr revIDLastSave="0" documentId="13_ncr:1_{9F862FE4-DF73-CC46-A879-728A6888D32F}" xr6:coauthVersionLast="40" xr6:coauthVersionMax="40" xr10:uidLastSave="{00000000-0000-0000-0000-000000000000}"/>
  <bookViews>
    <workbookView xWindow="12420" yWindow="4800" windowWidth="27180" windowHeight="20040" xr2:uid="{8F37B6E3-CE7F-4E6A-AD55-CC9CFE38B65D}"/>
  </bookViews>
  <sheets>
    <sheet name="Part 1" sheetId="1" r:id="rId1"/>
    <sheet name="Part 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6" i="2" l="1"/>
  <c r="M16" i="2" s="1"/>
  <c r="A12" i="2"/>
  <c r="M12" i="2" s="1"/>
  <c r="A8" i="2"/>
  <c r="M8" i="2" s="1"/>
  <c r="A4" i="2"/>
  <c r="M4" i="2" s="1"/>
  <c r="N16" i="1"/>
  <c r="O16" i="1" s="1"/>
  <c r="N12" i="1"/>
  <c r="O12" i="1" s="1"/>
  <c r="N8" i="1"/>
  <c r="O8" i="1" s="1"/>
  <c r="N4" i="1"/>
  <c r="O4" i="1" s="1"/>
  <c r="G18" i="2" l="1"/>
  <c r="D19" i="2" s="1"/>
  <c r="I18" i="1"/>
  <c r="B19" i="1" s="1"/>
</calcChain>
</file>

<file path=xl/sharedStrings.xml><?xml version="1.0" encoding="utf-8"?>
<sst xmlns="http://schemas.openxmlformats.org/spreadsheetml/2006/main" count="18" uniqueCount="5">
  <si>
    <t>Change the binary numbers to match the target value</t>
  </si>
  <si>
    <t>Target Value</t>
  </si>
  <si>
    <t>Your Value</t>
  </si>
  <si>
    <t>Enter the denary value for the binary values shown</t>
  </si>
  <si>
    <t>Denary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</si>
</sst>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20"/>
      <color theme="0"/>
      <name val="Arial"/>
      <family val="2"/>
    </font>
    <font>
      <sz val="9"/>
      <color rgb="FFFFFF00"/>
      <name val="Arial"/>
      <family val="2"/>
    </font>
    <font>
      <sz val="9"/>
      <color theme="1"/>
      <name val="Arial"/>
      <family val="2"/>
    </font>
    <font>
      <sz val="22"/>
      <color rgb="FFFFFF00"/>
      <name val="Consolas"/>
      <family val="3"/>
    </font>
    <font>
      <sz val="22"/>
      <color theme="1"/>
      <name val="Consolas"/>
      <family val="3"/>
    </font>
    <font>
      <sz val="11"/>
      <color theme="1"/>
      <name val="Consolas"/>
      <family val="3"/>
    </font>
    <font>
      <sz val="11"/>
      <name val="Arial"/>
      <family val="2"/>
    </font>
    <font>
      <i/>
      <sz val="9"/>
      <color theme="0"/>
      <name val="Arial"/>
      <family val="2"/>
    </font>
    <font>
      <b/>
      <sz val="20"/>
      <color rgb="FF6600FF"/>
      <name val="Arial"/>
      <family val="2"/>
    </font>
    <font>
      <sz val="2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Protection="1">
      <protection hidden="1"/>
    </xf>
    <xf numFmtId="0" fontId="2" fillId="2" borderId="0" xfId="0" applyFont="1" applyFill="1" applyAlignment="1" applyProtection="1">
      <alignment vertical="center" wrapTex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Border="1" applyProtection="1">
      <protection hidden="1"/>
    </xf>
    <xf numFmtId="0" fontId="5" fillId="2" borderId="1" xfId="0" applyFont="1" applyFill="1" applyBorder="1" applyAlignment="1" applyProtection="1">
      <alignment horizontal="center"/>
      <protection hidden="1"/>
    </xf>
    <xf numFmtId="0" fontId="6" fillId="2" borderId="2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locked="0"/>
    </xf>
    <xf numFmtId="0" fontId="7" fillId="2" borderId="0" xfId="0" applyFont="1" applyFill="1" applyProtection="1">
      <protection hidden="1"/>
    </xf>
    <xf numFmtId="0" fontId="8" fillId="2" borderId="0" xfId="0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9" fillId="2" borderId="0" xfId="0" applyFont="1" applyFill="1" applyProtection="1">
      <protection hidden="1"/>
    </xf>
    <xf numFmtId="0" fontId="2" fillId="2" borderId="0" xfId="0" applyFont="1" applyFill="1" applyAlignment="1" applyProtection="1">
      <alignment horizontal="center" vertical="center" wrapText="1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11" fillId="2" borderId="1" xfId="0" applyFont="1" applyFill="1" applyBorder="1" applyAlignment="1" applyProtection="1">
      <alignment horizontal="center"/>
      <protection hidden="1"/>
    </xf>
    <xf numFmtId="0" fontId="11" fillId="2" borderId="3" xfId="0" applyFont="1" applyFill="1" applyBorder="1" applyAlignment="1" applyProtection="1">
      <alignment horizontal="center"/>
      <protection hidden="1"/>
    </xf>
    <xf numFmtId="0" fontId="5" fillId="2" borderId="4" xfId="0" applyFont="1" applyFill="1" applyBorder="1" applyAlignment="1" applyProtection="1">
      <alignment horizontal="center"/>
      <protection hidden="1"/>
    </xf>
    <xf numFmtId="0" fontId="6" fillId="2" borderId="3" xfId="0" applyFont="1" applyFill="1" applyBorder="1" applyAlignment="1" applyProtection="1">
      <alignment horizontal="center"/>
      <protection hidden="1"/>
    </xf>
    <xf numFmtId="0" fontId="1" fillId="0" borderId="0" xfId="0" applyFont="1" applyProtection="1">
      <protection hidden="1"/>
    </xf>
    <xf numFmtId="0" fontId="0" fillId="0" borderId="0" xfId="0" applyProtection="1">
      <protection hidden="1"/>
    </xf>
    <xf numFmtId="0" fontId="2" fillId="2" borderId="0" xfId="0" applyFont="1" applyFill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/>
      <protection hidden="1"/>
    </xf>
    <xf numFmtId="0" fontId="10" fillId="2" borderId="0" xfId="0" applyFont="1" applyFill="1" applyBorder="1" applyAlignment="1" applyProtection="1">
      <alignment horizontal="center"/>
      <protection hidden="1"/>
    </xf>
  </cellXfs>
  <cellStyles count="1">
    <cellStyle name="Normal" xfId="0" builtinId="0"/>
  </cellStyles>
  <dxfs count="12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theme="1"/>
      </font>
      <fill>
        <patternFill>
          <bgColor theme="9"/>
        </patternFill>
      </fill>
    </dxf>
    <dxf>
      <font>
        <color theme="1"/>
      </font>
      <fill>
        <patternFill>
          <bgColor theme="9"/>
        </patternFill>
      </fill>
    </dxf>
    <dxf>
      <font>
        <color theme="1"/>
      </font>
      <fill>
        <patternFill>
          <bgColor theme="9"/>
        </patternFill>
      </fill>
    </dxf>
    <dxf>
      <font>
        <color theme="1"/>
      </font>
      <fill>
        <patternFill>
          <bgColor theme="9"/>
        </patternFill>
      </fill>
    </dxf>
  </dxfs>
  <tableStyles count="0" defaultTableStyle="TableStyleMedium2" defaultPivotStyle="PivotStyleLight16"/>
  <colors>
    <mruColors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FBAA5-E409-41E8-A96D-32EA723294AE}">
  <dimension ref="A1:P20"/>
  <sheetViews>
    <sheetView tabSelected="1" zoomScale="120" zoomScaleNormal="120" workbookViewId="0">
      <selection activeCell="F4" sqref="F4"/>
    </sheetView>
  </sheetViews>
  <sheetFormatPr baseColWidth="10" defaultColWidth="0" defaultRowHeight="15" zeroHeight="1" x14ac:dyDescent="0.2"/>
  <cols>
    <col min="1" max="16" width="8.83203125" style="21" customWidth="1"/>
    <col min="17" max="16384" width="8.83203125" style="21" hidden="1"/>
  </cols>
  <sheetData>
    <row r="1" spans="1:16" ht="25" x14ac:dyDescent="0.2">
      <c r="A1" s="1"/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"/>
    </row>
    <row r="2" spans="1:16" x14ac:dyDescent="0.2">
      <c r="A2" s="1"/>
      <c r="B2" s="1"/>
      <c r="C2" s="1"/>
      <c r="D2" s="3"/>
      <c r="E2" s="3"/>
      <c r="F2" s="3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">
      <c r="A3" s="1"/>
      <c r="B3" s="1"/>
      <c r="C3" s="4" t="s">
        <v>1</v>
      </c>
      <c r="D3" s="5"/>
      <c r="E3" s="4">
        <v>128</v>
      </c>
      <c r="F3" s="4">
        <v>64</v>
      </c>
      <c r="G3" s="4">
        <v>32</v>
      </c>
      <c r="H3" s="4">
        <v>16</v>
      </c>
      <c r="I3" s="4">
        <v>8</v>
      </c>
      <c r="J3" s="4">
        <v>4</v>
      </c>
      <c r="K3" s="4">
        <v>2</v>
      </c>
      <c r="L3" s="4">
        <v>1</v>
      </c>
      <c r="M3" s="1"/>
      <c r="N3" s="4" t="s">
        <v>2</v>
      </c>
      <c r="O3" s="1"/>
      <c r="P3" s="1"/>
    </row>
    <row r="4" spans="1:16" ht="31" x14ac:dyDescent="0.4">
      <c r="A4" s="1"/>
      <c r="B4" s="1"/>
      <c r="C4" s="6">
        <v>169</v>
      </c>
      <c r="D4" s="7"/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9"/>
      <c r="N4" s="6">
        <f>E4*128+F4*64+G4*32+H4*16+I4*8+J4*4+K4*2+L4</f>
        <v>0</v>
      </c>
      <c r="O4" s="10">
        <f>IF(C4=N4,1,0)</f>
        <v>0</v>
      </c>
      <c r="P4" s="1"/>
    </row>
    <row r="5" spans="1:16" x14ac:dyDescent="0.2">
      <c r="A5" s="1"/>
      <c r="B5" s="1"/>
      <c r="C5" s="1"/>
      <c r="D5" s="1"/>
      <c r="E5" s="3"/>
      <c r="F5" s="3"/>
      <c r="G5" s="3"/>
      <c r="H5" s="1"/>
      <c r="I5" s="1"/>
      <c r="J5" s="1"/>
      <c r="K5" s="1"/>
      <c r="L5" s="1"/>
      <c r="M5" s="1"/>
      <c r="N5" s="1"/>
      <c r="O5" s="11"/>
      <c r="P5" s="1"/>
    </row>
    <row r="6" spans="1:16" x14ac:dyDescent="0.2">
      <c r="A6" s="1"/>
      <c r="B6" s="1"/>
      <c r="C6" s="1"/>
      <c r="D6" s="1"/>
      <c r="E6" s="3"/>
      <c r="F6" s="3"/>
      <c r="G6" s="3"/>
      <c r="H6" s="1"/>
      <c r="I6" s="1"/>
      <c r="J6" s="1"/>
      <c r="K6" s="1"/>
      <c r="L6" s="1"/>
      <c r="M6" s="1"/>
      <c r="N6" s="1"/>
      <c r="O6" s="11"/>
      <c r="P6" s="1"/>
    </row>
    <row r="7" spans="1:16" x14ac:dyDescent="0.2">
      <c r="A7" s="1"/>
      <c r="B7" s="1"/>
      <c r="C7" s="4" t="s">
        <v>1</v>
      </c>
      <c r="D7" s="5"/>
      <c r="E7" s="4">
        <v>128</v>
      </c>
      <c r="F7" s="4">
        <v>64</v>
      </c>
      <c r="G7" s="4">
        <v>32</v>
      </c>
      <c r="H7" s="4">
        <v>16</v>
      </c>
      <c r="I7" s="4">
        <v>8</v>
      </c>
      <c r="J7" s="4">
        <v>4</v>
      </c>
      <c r="K7" s="4">
        <v>2</v>
      </c>
      <c r="L7" s="4">
        <v>1</v>
      </c>
      <c r="M7" s="1"/>
      <c r="N7" s="4" t="s">
        <v>2</v>
      </c>
      <c r="O7" s="11"/>
      <c r="P7" s="1"/>
    </row>
    <row r="8" spans="1:16" ht="31" x14ac:dyDescent="0.4">
      <c r="A8" s="1"/>
      <c r="B8" s="1"/>
      <c r="C8" s="6">
        <v>118</v>
      </c>
      <c r="D8" s="7"/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9"/>
      <c r="N8" s="6">
        <f>E8*128+F8*64+G8*32+H8*16+I8*8+J8*4+K8*2+L8</f>
        <v>0</v>
      </c>
      <c r="O8" s="10">
        <f>IF(C8=N8,1,0)</f>
        <v>0</v>
      </c>
      <c r="P8" s="1"/>
    </row>
    <row r="9" spans="1:16" x14ac:dyDescent="0.2">
      <c r="A9" s="1"/>
      <c r="B9" s="1"/>
      <c r="C9" s="1"/>
      <c r="D9" s="1"/>
      <c r="E9" s="3"/>
      <c r="F9" s="3"/>
      <c r="G9" s="3"/>
      <c r="H9" s="1"/>
      <c r="I9" s="1"/>
      <c r="J9" s="1"/>
      <c r="K9" s="1"/>
      <c r="L9" s="1"/>
      <c r="M9" s="1"/>
      <c r="N9" s="1"/>
      <c r="O9" s="11"/>
      <c r="P9" s="1"/>
    </row>
    <row r="10" spans="1:16" x14ac:dyDescent="0.2">
      <c r="A10" s="1"/>
      <c r="B10" s="1"/>
      <c r="C10" s="1"/>
      <c r="D10" s="1"/>
      <c r="E10" s="3"/>
      <c r="F10" s="3"/>
      <c r="G10" s="3"/>
      <c r="H10" s="1"/>
      <c r="I10" s="1"/>
      <c r="J10" s="1"/>
      <c r="K10" s="1"/>
      <c r="L10" s="1"/>
      <c r="M10" s="1"/>
      <c r="N10" s="1"/>
      <c r="O10" s="11"/>
      <c r="P10" s="1"/>
    </row>
    <row r="11" spans="1:16" x14ac:dyDescent="0.2">
      <c r="A11" s="1"/>
      <c r="B11" s="1"/>
      <c r="C11" s="4" t="s">
        <v>1</v>
      </c>
      <c r="D11" s="5"/>
      <c r="E11" s="4">
        <v>128</v>
      </c>
      <c r="F11" s="4">
        <v>64</v>
      </c>
      <c r="G11" s="4">
        <v>32</v>
      </c>
      <c r="H11" s="4">
        <v>16</v>
      </c>
      <c r="I11" s="4">
        <v>8</v>
      </c>
      <c r="J11" s="4">
        <v>4</v>
      </c>
      <c r="K11" s="4">
        <v>2</v>
      </c>
      <c r="L11" s="4">
        <v>1</v>
      </c>
      <c r="M11" s="1"/>
      <c r="N11" s="4" t="s">
        <v>2</v>
      </c>
      <c r="O11" s="11"/>
      <c r="P11" s="1"/>
    </row>
    <row r="12" spans="1:16" ht="31" x14ac:dyDescent="0.4">
      <c r="A12" s="1"/>
      <c r="B12" s="1"/>
      <c r="C12" s="6">
        <v>99</v>
      </c>
      <c r="D12" s="7"/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9"/>
      <c r="N12" s="6">
        <f>E12*128+F12*64+G12*32+H12*16+I12*8+J12*4+K12*2+L12</f>
        <v>0</v>
      </c>
      <c r="O12" s="10">
        <f>IF(C12=N12,1,0)</f>
        <v>0</v>
      </c>
      <c r="P12" s="1"/>
    </row>
    <row r="13" spans="1:16" x14ac:dyDescent="0.2">
      <c r="A13" s="1"/>
      <c r="B13" s="1"/>
      <c r="C13" s="1"/>
      <c r="D13" s="1"/>
      <c r="E13" s="3"/>
      <c r="F13" s="3"/>
      <c r="G13" s="3"/>
      <c r="H13" s="1"/>
      <c r="I13" s="1"/>
      <c r="J13" s="1"/>
      <c r="K13" s="1"/>
      <c r="L13" s="1"/>
      <c r="M13" s="1"/>
      <c r="N13" s="1"/>
      <c r="O13" s="11"/>
      <c r="P13" s="1"/>
    </row>
    <row r="14" spans="1:16" x14ac:dyDescent="0.2">
      <c r="A14" s="1"/>
      <c r="B14" s="1"/>
      <c r="C14" s="1"/>
      <c r="D14" s="1"/>
      <c r="E14" s="3"/>
      <c r="F14" s="3"/>
      <c r="G14" s="3"/>
      <c r="H14" s="1"/>
      <c r="I14" s="1"/>
      <c r="J14" s="1"/>
      <c r="K14" s="1"/>
      <c r="L14" s="1"/>
      <c r="M14" s="1"/>
      <c r="N14" s="1"/>
      <c r="O14" s="11"/>
      <c r="P14" s="1"/>
    </row>
    <row r="15" spans="1:16" x14ac:dyDescent="0.2">
      <c r="A15" s="1"/>
      <c r="B15" s="1"/>
      <c r="C15" s="4" t="s">
        <v>1</v>
      </c>
      <c r="D15" s="5"/>
      <c r="E15" s="4">
        <v>128</v>
      </c>
      <c r="F15" s="4">
        <v>64</v>
      </c>
      <c r="G15" s="4">
        <v>32</v>
      </c>
      <c r="H15" s="4">
        <v>16</v>
      </c>
      <c r="I15" s="4">
        <v>8</v>
      </c>
      <c r="J15" s="4">
        <v>4</v>
      </c>
      <c r="K15" s="4">
        <v>2</v>
      </c>
      <c r="L15" s="4">
        <v>1</v>
      </c>
      <c r="M15" s="1"/>
      <c r="N15" s="4" t="s">
        <v>2</v>
      </c>
      <c r="O15" s="11"/>
      <c r="P15" s="1"/>
    </row>
    <row r="16" spans="1:16" ht="31" x14ac:dyDescent="0.4">
      <c r="A16" s="1"/>
      <c r="B16" s="1"/>
      <c r="C16" s="6">
        <v>246</v>
      </c>
      <c r="D16" s="7"/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9"/>
      <c r="N16" s="6">
        <f>E16*128+F16*64+G16*32+H16*16+I16*8+J16*4+K16*2+L16</f>
        <v>0</v>
      </c>
      <c r="O16" s="10">
        <f>IF(C16=N16,1,0)</f>
        <v>0</v>
      </c>
      <c r="P16" s="1"/>
    </row>
    <row r="17" spans="1:16" x14ac:dyDescent="0.2">
      <c r="A17" s="1"/>
      <c r="B17" s="1"/>
      <c r="C17" s="1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1"/>
      <c r="P17" s="1"/>
    </row>
    <row r="18" spans="1:16" x14ac:dyDescent="0.2">
      <c r="A18" s="1"/>
      <c r="B18" s="1"/>
      <c r="C18" s="1"/>
      <c r="D18" s="3"/>
      <c r="E18" s="3"/>
      <c r="F18" s="3"/>
      <c r="G18" s="1"/>
      <c r="H18" s="1"/>
      <c r="I18" s="11">
        <f>O4+O8+O12+O16</f>
        <v>0</v>
      </c>
      <c r="J18" s="1"/>
      <c r="K18" s="1"/>
      <c r="L18" s="1"/>
      <c r="M18" s="1"/>
      <c r="N18" s="1"/>
      <c r="O18" s="11"/>
      <c r="P18" s="1"/>
    </row>
    <row r="19" spans="1:16" ht="25" x14ac:dyDescent="0.25">
      <c r="A19" s="1"/>
      <c r="B19" s="23" t="str">
        <f>IF(I18=4,"One half of the passcode is A743","")</f>
        <v/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1"/>
    </row>
    <row r="20" spans="1:16" x14ac:dyDescent="0.2">
      <c r="A20" s="12"/>
      <c r="B20" s="1"/>
      <c r="C20" s="1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</row>
  </sheetData>
  <sheetProtection algorithmName="SHA-512" hashValue="4I6H9RG48CoMh1tONQ/e72+9o13fiThQfZ+1uJ1o6Sq28xfRsamdJY9VEvwUgtkj6YYeoEMU8j0SLLjEWUSqNg==" saltValue="fuQmTMW2m7wOFXFOPWyIYg==" spinCount="100000" sheet="1" objects="1" scenarios="1"/>
  <mergeCells count="2">
    <mergeCell ref="B1:O1"/>
    <mergeCell ref="B19:O19"/>
  </mergeCells>
  <conditionalFormatting sqref="N4">
    <cfRule type="expression" dxfId="11" priority="4">
      <formula>O4=1</formula>
    </cfRule>
  </conditionalFormatting>
  <conditionalFormatting sqref="N8">
    <cfRule type="expression" dxfId="10" priority="3">
      <formula>O8=1</formula>
    </cfRule>
  </conditionalFormatting>
  <conditionalFormatting sqref="N12">
    <cfRule type="expression" dxfId="9" priority="2">
      <formula>O12=1</formula>
    </cfRule>
  </conditionalFormatting>
  <conditionalFormatting sqref="N16">
    <cfRule type="expression" dxfId="8" priority="1">
      <formula>O16=1</formula>
    </cfRule>
  </conditionalFormatting>
  <dataValidations count="1">
    <dataValidation type="whole" allowBlank="1" showInputMessage="1" showErrorMessage="1" sqref="E4:L4 E8:L8 E12:L12 E16:L16" xr:uid="{C8019948-8ABF-4F75-AE4A-EA93262591AC}">
      <formula1>0</formula1>
      <formula2>1</formula2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C0EF-5DA8-40DE-8380-E96D37AE7B5D}">
  <dimension ref="A1:N20"/>
  <sheetViews>
    <sheetView zoomScale="120" zoomScaleNormal="120" workbookViewId="0">
      <selection activeCell="L4" sqref="L4"/>
    </sheetView>
  </sheetViews>
  <sheetFormatPr baseColWidth="10" defaultColWidth="0" defaultRowHeight="15" zeroHeight="1" x14ac:dyDescent="0.2"/>
  <cols>
    <col min="1" max="14" width="8.83203125" style="21" customWidth="1"/>
    <col min="15" max="16384" width="8.83203125" style="21" hidden="1"/>
  </cols>
  <sheetData>
    <row r="1" spans="1:14" s="20" customFormat="1" ht="25.75" customHeight="1" x14ac:dyDescent="0.15">
      <c r="A1" s="13"/>
      <c r="B1" s="22" t="s">
        <v>3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1"/>
    </row>
    <row r="2" spans="1:14" s="20" customFormat="1" ht="14" x14ac:dyDescent="0.15">
      <c r="A2" s="11"/>
      <c r="B2" s="1"/>
      <c r="C2" s="1"/>
      <c r="D2" s="1"/>
      <c r="E2" s="1"/>
      <c r="F2" s="3"/>
      <c r="G2" s="3"/>
      <c r="H2" s="3"/>
      <c r="I2" s="3"/>
      <c r="J2" s="3"/>
      <c r="K2" s="3"/>
      <c r="L2" s="1"/>
      <c r="M2" s="1"/>
      <c r="N2" s="1"/>
    </row>
    <row r="3" spans="1:14" s="20" customFormat="1" ht="14" x14ac:dyDescent="0.15">
      <c r="A3" s="14" t="s">
        <v>1</v>
      </c>
      <c r="B3" s="5"/>
      <c r="C3" s="4">
        <v>128</v>
      </c>
      <c r="D3" s="4">
        <v>64</v>
      </c>
      <c r="E3" s="4">
        <v>32</v>
      </c>
      <c r="F3" s="4">
        <v>16</v>
      </c>
      <c r="G3" s="4">
        <v>8</v>
      </c>
      <c r="H3" s="4">
        <v>4</v>
      </c>
      <c r="I3" s="4">
        <v>2</v>
      </c>
      <c r="J3" s="4">
        <v>1</v>
      </c>
      <c r="K3" s="15"/>
      <c r="L3" s="4" t="s">
        <v>4</v>
      </c>
      <c r="M3" s="1"/>
      <c r="N3" s="1"/>
    </row>
    <row r="4" spans="1:14" s="20" customFormat="1" ht="31" x14ac:dyDescent="0.4">
      <c r="A4" s="16">
        <f>C4*128+D4*64+E4*32+F4*16+G4*8+H4*4+I4*2+J4</f>
        <v>147</v>
      </c>
      <c r="B4" s="17"/>
      <c r="C4" s="18">
        <v>1</v>
      </c>
      <c r="D4" s="18">
        <v>0</v>
      </c>
      <c r="E4" s="18">
        <v>0</v>
      </c>
      <c r="F4" s="18">
        <v>1</v>
      </c>
      <c r="G4" s="18">
        <v>0</v>
      </c>
      <c r="H4" s="18">
        <v>0</v>
      </c>
      <c r="I4" s="18">
        <v>1</v>
      </c>
      <c r="J4" s="18">
        <v>1</v>
      </c>
      <c r="K4" s="19"/>
      <c r="L4" s="8"/>
      <c r="M4" s="10">
        <f>IF(A4=L4,1,0)</f>
        <v>0</v>
      </c>
      <c r="N4" s="1"/>
    </row>
    <row r="5" spans="1:14" s="20" customFormat="1" ht="14" x14ac:dyDescent="0.15">
      <c r="A5" s="1"/>
      <c r="B5" s="1"/>
      <c r="C5" s="11"/>
      <c r="D5" s="11"/>
      <c r="E5" s="11"/>
      <c r="F5" s="3"/>
      <c r="G5" s="3"/>
      <c r="H5" s="3"/>
      <c r="I5" s="3"/>
      <c r="J5" s="3"/>
      <c r="K5" s="3"/>
      <c r="L5" s="1"/>
      <c r="M5" s="11"/>
      <c r="N5" s="1"/>
    </row>
    <row r="6" spans="1:14" s="20" customFormat="1" ht="14" x14ac:dyDescent="0.15">
      <c r="A6" s="1"/>
      <c r="B6" s="1"/>
      <c r="C6" s="11"/>
      <c r="D6" s="11"/>
      <c r="E6" s="11"/>
      <c r="F6" s="3"/>
      <c r="G6" s="3"/>
      <c r="H6" s="3"/>
      <c r="I6" s="3"/>
      <c r="J6" s="3"/>
      <c r="K6" s="3"/>
      <c r="L6" s="1"/>
      <c r="M6" s="11"/>
      <c r="N6" s="1"/>
    </row>
    <row r="7" spans="1:14" s="20" customFormat="1" ht="14" x14ac:dyDescent="0.15">
      <c r="A7" s="14" t="s">
        <v>1</v>
      </c>
      <c r="B7" s="5"/>
      <c r="C7" s="4">
        <v>128</v>
      </c>
      <c r="D7" s="4">
        <v>64</v>
      </c>
      <c r="E7" s="4">
        <v>32</v>
      </c>
      <c r="F7" s="4">
        <v>16</v>
      </c>
      <c r="G7" s="4">
        <v>8</v>
      </c>
      <c r="H7" s="4">
        <v>4</v>
      </c>
      <c r="I7" s="4">
        <v>2</v>
      </c>
      <c r="J7" s="4">
        <v>1</v>
      </c>
      <c r="K7" s="15"/>
      <c r="L7" s="4" t="s">
        <v>4</v>
      </c>
      <c r="M7" s="11"/>
      <c r="N7" s="1"/>
    </row>
    <row r="8" spans="1:14" s="20" customFormat="1" ht="31" x14ac:dyDescent="0.4">
      <c r="A8" s="16">
        <f>C8*128+D8*64+E8*32+F8*16+G8*8+H8*4+I8*2+J8</f>
        <v>151</v>
      </c>
      <c r="B8" s="17"/>
      <c r="C8" s="18">
        <v>1</v>
      </c>
      <c r="D8" s="18">
        <v>0</v>
      </c>
      <c r="E8" s="18">
        <v>0</v>
      </c>
      <c r="F8" s="18">
        <v>1</v>
      </c>
      <c r="G8" s="18">
        <v>0</v>
      </c>
      <c r="H8" s="18">
        <v>1</v>
      </c>
      <c r="I8" s="18">
        <v>1</v>
      </c>
      <c r="J8" s="18">
        <v>1</v>
      </c>
      <c r="K8" s="19"/>
      <c r="L8" s="8"/>
      <c r="M8" s="10">
        <f>IF(A8=L8,1,0)</f>
        <v>0</v>
      </c>
      <c r="N8" s="1"/>
    </row>
    <row r="9" spans="1:14" s="20" customFormat="1" ht="14" x14ac:dyDescent="0.15">
      <c r="A9" s="1"/>
      <c r="B9" s="1"/>
      <c r="C9" s="11"/>
      <c r="D9" s="11"/>
      <c r="E9" s="11"/>
      <c r="F9" s="3"/>
      <c r="G9" s="3"/>
      <c r="H9" s="3"/>
      <c r="I9" s="3"/>
      <c r="J9" s="3"/>
      <c r="K9" s="3"/>
      <c r="L9" s="1"/>
      <c r="M9" s="11"/>
      <c r="N9" s="1"/>
    </row>
    <row r="10" spans="1:14" s="20" customFormat="1" ht="14" x14ac:dyDescent="0.15">
      <c r="A10" s="1"/>
      <c r="B10" s="1"/>
      <c r="C10" s="11"/>
      <c r="D10" s="11"/>
      <c r="E10" s="11"/>
      <c r="F10" s="3"/>
      <c r="G10" s="3"/>
      <c r="H10" s="3"/>
      <c r="I10" s="3"/>
      <c r="J10" s="3"/>
      <c r="K10" s="3"/>
      <c r="L10" s="1"/>
      <c r="M10" s="11"/>
      <c r="N10" s="1"/>
    </row>
    <row r="11" spans="1:14" s="20" customFormat="1" ht="14" x14ac:dyDescent="0.15">
      <c r="A11" s="14" t="s">
        <v>1</v>
      </c>
      <c r="B11" s="5"/>
      <c r="C11" s="4">
        <v>128</v>
      </c>
      <c r="D11" s="4">
        <v>64</v>
      </c>
      <c r="E11" s="4">
        <v>32</v>
      </c>
      <c r="F11" s="4">
        <v>16</v>
      </c>
      <c r="G11" s="4">
        <v>8</v>
      </c>
      <c r="H11" s="4">
        <v>4</v>
      </c>
      <c r="I11" s="4">
        <v>2</v>
      </c>
      <c r="J11" s="4">
        <v>1</v>
      </c>
      <c r="K11" s="15"/>
      <c r="L11" s="4" t="s">
        <v>4</v>
      </c>
      <c r="M11" s="11"/>
      <c r="N11" s="1"/>
    </row>
    <row r="12" spans="1:14" s="20" customFormat="1" ht="31" x14ac:dyDescent="0.4">
      <c r="A12" s="16">
        <f>C12*128+D12*64+E12*32+F12*16+G12*8+H12*4+I12*2+J12</f>
        <v>205</v>
      </c>
      <c r="B12" s="17"/>
      <c r="C12" s="18">
        <v>1</v>
      </c>
      <c r="D12" s="18">
        <v>1</v>
      </c>
      <c r="E12" s="18">
        <v>0</v>
      </c>
      <c r="F12" s="18">
        <v>0</v>
      </c>
      <c r="G12" s="18">
        <v>1</v>
      </c>
      <c r="H12" s="18">
        <v>1</v>
      </c>
      <c r="I12" s="18">
        <v>0</v>
      </c>
      <c r="J12" s="18">
        <v>1</v>
      </c>
      <c r="K12" s="19"/>
      <c r="L12" s="8"/>
      <c r="M12" s="10">
        <f>IF(A12=L12,1,0)</f>
        <v>0</v>
      </c>
      <c r="N12" s="1"/>
    </row>
    <row r="13" spans="1:14" s="20" customFormat="1" ht="14" x14ac:dyDescent="0.15">
      <c r="A13" s="1"/>
      <c r="B13" s="1"/>
      <c r="C13" s="11"/>
      <c r="D13" s="11"/>
      <c r="E13" s="11"/>
      <c r="F13" s="3"/>
      <c r="G13" s="3"/>
      <c r="H13" s="3"/>
      <c r="I13" s="3"/>
      <c r="J13" s="3"/>
      <c r="K13" s="3"/>
      <c r="L13" s="1"/>
      <c r="M13" s="11"/>
      <c r="N13" s="1"/>
    </row>
    <row r="14" spans="1:14" s="20" customFormat="1" ht="14" x14ac:dyDescent="0.15">
      <c r="A14" s="1"/>
      <c r="B14" s="1"/>
      <c r="C14" s="11"/>
      <c r="D14" s="11"/>
      <c r="E14" s="11"/>
      <c r="F14" s="3"/>
      <c r="G14" s="3"/>
      <c r="H14" s="3"/>
      <c r="I14" s="3"/>
      <c r="J14" s="3"/>
      <c r="K14" s="3"/>
      <c r="L14" s="1"/>
      <c r="M14" s="11"/>
      <c r="N14" s="1"/>
    </row>
    <row r="15" spans="1:14" s="20" customFormat="1" ht="14" x14ac:dyDescent="0.15">
      <c r="A15" s="14" t="s">
        <v>1</v>
      </c>
      <c r="B15" s="5"/>
      <c r="C15" s="4">
        <v>128</v>
      </c>
      <c r="D15" s="4">
        <v>64</v>
      </c>
      <c r="E15" s="4">
        <v>32</v>
      </c>
      <c r="F15" s="4">
        <v>16</v>
      </c>
      <c r="G15" s="4">
        <v>8</v>
      </c>
      <c r="H15" s="4">
        <v>4</v>
      </c>
      <c r="I15" s="4">
        <v>2</v>
      </c>
      <c r="J15" s="4">
        <v>1</v>
      </c>
      <c r="K15" s="15"/>
      <c r="L15" s="4" t="s">
        <v>4</v>
      </c>
      <c r="M15" s="11"/>
      <c r="N15" s="1"/>
    </row>
    <row r="16" spans="1:14" s="20" customFormat="1" ht="31" x14ac:dyDescent="0.4">
      <c r="A16" s="16">
        <f>C16*128+D16*64+E16*32+F16*16+G16*8+H16*4+I16*2+J16</f>
        <v>229</v>
      </c>
      <c r="B16" s="17"/>
      <c r="C16" s="18">
        <v>1</v>
      </c>
      <c r="D16" s="18">
        <v>1</v>
      </c>
      <c r="E16" s="18">
        <v>1</v>
      </c>
      <c r="F16" s="18">
        <v>0</v>
      </c>
      <c r="G16" s="18">
        <v>0</v>
      </c>
      <c r="H16" s="18">
        <v>1</v>
      </c>
      <c r="I16" s="18">
        <v>0</v>
      </c>
      <c r="J16" s="18">
        <v>1</v>
      </c>
      <c r="K16" s="19"/>
      <c r="L16" s="8"/>
      <c r="M16" s="10">
        <f>IF(A16=L16,1,0)</f>
        <v>0</v>
      </c>
      <c r="N16" s="1"/>
    </row>
    <row r="17" spans="1:14" s="20" customFormat="1" ht="14" x14ac:dyDescent="0.15">
      <c r="A17" s="1"/>
      <c r="B17" s="1"/>
      <c r="C17" s="3"/>
      <c r="D17" s="3"/>
      <c r="E17" s="1"/>
      <c r="F17" s="11"/>
      <c r="G17" s="1"/>
      <c r="H17" s="1"/>
      <c r="I17" s="1"/>
      <c r="J17" s="1"/>
      <c r="K17" s="1"/>
      <c r="L17" s="1"/>
      <c r="M17" s="1"/>
      <c r="N17" s="11"/>
    </row>
    <row r="18" spans="1:14" s="20" customFormat="1" ht="14" x14ac:dyDescent="0.15">
      <c r="A18" s="1"/>
      <c r="B18" s="1"/>
      <c r="C18" s="3"/>
      <c r="D18" s="3"/>
      <c r="E18" s="1"/>
      <c r="F18" s="1"/>
      <c r="G18" s="11">
        <f>M4+M8+M12+M16</f>
        <v>0</v>
      </c>
      <c r="H18" s="1"/>
      <c r="I18" s="1"/>
      <c r="J18" s="1"/>
      <c r="K18" s="1"/>
      <c r="L18" s="1"/>
      <c r="M18" s="1"/>
      <c r="N18" s="1"/>
    </row>
    <row r="19" spans="1:14" s="20" customFormat="1" ht="25" x14ac:dyDescent="0.25">
      <c r="A19" s="1"/>
      <c r="B19" s="1"/>
      <c r="C19" s="3"/>
      <c r="D19" s="24" t="str">
        <f>IF(G18=4,"The other half of the passcode is 3CD4","")</f>
        <v/>
      </c>
      <c r="E19" s="24"/>
      <c r="F19" s="24"/>
      <c r="G19" s="24"/>
      <c r="H19" s="24"/>
      <c r="I19" s="24"/>
      <c r="J19" s="24"/>
      <c r="K19" s="24"/>
      <c r="L19" s="1"/>
      <c r="M19" s="1"/>
      <c r="N19" s="1"/>
    </row>
    <row r="20" spans="1:14" s="20" customFormat="1" ht="14" x14ac:dyDescent="0.15">
      <c r="A20" s="1"/>
      <c r="B20" s="1"/>
      <c r="C20" s="3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</row>
  </sheetData>
  <sheetProtection algorithmName="SHA-512" hashValue="T/iSfMaUcvXU+qUS3CUb0ZI4vYeS0AoXiDqOfLgGPCyBwqWbuYJCdcE4ACeXqP4CEulrVkt4lblS4QTGYlWPxw==" saltValue="lxcSLrGoJhPm8PbWPUTJOA==" spinCount="100000" sheet="1" objects="1" scenarios="1"/>
  <mergeCells count="2">
    <mergeCell ref="B1:M1"/>
    <mergeCell ref="D19:K19"/>
  </mergeCells>
  <conditionalFormatting sqref="L4">
    <cfRule type="expression" dxfId="7" priority="8">
      <formula>M4=1</formula>
    </cfRule>
  </conditionalFormatting>
  <conditionalFormatting sqref="L12">
    <cfRule type="expression" dxfId="6" priority="5">
      <formula>M12=1</formula>
    </cfRule>
  </conditionalFormatting>
  <conditionalFormatting sqref="L8">
    <cfRule type="expression" dxfId="5" priority="6">
      <formula>M8=1</formula>
    </cfRule>
  </conditionalFormatting>
  <conditionalFormatting sqref="A4">
    <cfRule type="expression" dxfId="4" priority="7">
      <formula>B4=1</formula>
    </cfRule>
  </conditionalFormatting>
  <conditionalFormatting sqref="A8">
    <cfRule type="expression" dxfId="3" priority="4">
      <formula>B8=1</formula>
    </cfRule>
  </conditionalFormatting>
  <conditionalFormatting sqref="A12">
    <cfRule type="expression" dxfId="2" priority="3">
      <formula>B12=1</formula>
    </cfRule>
  </conditionalFormatting>
  <conditionalFormatting sqref="L16">
    <cfRule type="expression" dxfId="1" priority="2">
      <formula>M16=1</formula>
    </cfRule>
  </conditionalFormatting>
  <conditionalFormatting sqref="A16">
    <cfRule type="expression" dxfId="0" priority="1">
      <formula>B16=1</formula>
    </cfRule>
  </conditionalFormatting>
  <dataValidations count="1">
    <dataValidation type="whole" allowBlank="1" showInputMessage="1" showErrorMessage="1" sqref="C8:K8 C4:K4 C12:K12 C16:K16" xr:uid="{0EA90025-391B-482A-AED8-CBC84307075C}">
      <formula1>0</formula1>
      <formula2>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1</vt:lpstr>
      <vt:lpstr>Part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Broadway</dc:creator>
  <cp:lastModifiedBy>Glenn Broadway - Meoncross</cp:lastModifiedBy>
  <dcterms:created xsi:type="dcterms:W3CDTF">2018-12-11T22:16:57Z</dcterms:created>
  <dcterms:modified xsi:type="dcterms:W3CDTF">2018-12-11T22:56:02Z</dcterms:modified>
</cp:coreProperties>
</file>